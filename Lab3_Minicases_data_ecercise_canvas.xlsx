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User\Desktop\Lab 3\"/>
    </mc:Choice>
  </mc:AlternateContent>
  <xr:revisionPtr revIDLastSave="0" documentId="13_ncr:1_{289DBCA2-EDE4-4A1A-8332-3C1F19C105BC}" xr6:coauthVersionLast="47" xr6:coauthVersionMax="47" xr10:uidLastSave="{00000000-0000-0000-0000-000000000000}"/>
  <bookViews>
    <workbookView xWindow="-108" yWindow="-108" windowWidth="23256" windowHeight="12456" tabRatio="500" xr2:uid="{00000000-000D-0000-FFFF-FFFF00000000}"/>
  </bookViews>
  <sheets>
    <sheet name="G1 – NordPetro AS (Energy)" sheetId="1" r:id="rId1"/>
    <sheet name="G2 – VerdeMart Group (Retail)"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H11" i="1" l="1"/>
  <c r="H17" i="1"/>
  <c r="L13" i="1"/>
  <c r="K15" i="1"/>
  <c r="L15" i="1" s="1"/>
  <c r="M15" i="1" s="1"/>
  <c r="K14" i="1"/>
  <c r="L14" i="1" s="1"/>
  <c r="K13" i="1"/>
</calcChain>
</file>

<file path=xl/sharedStrings.xml><?xml version="1.0" encoding="utf-8"?>
<sst xmlns="http://schemas.openxmlformats.org/spreadsheetml/2006/main" count="215" uniqueCount="157">
  <si>
    <t>NordPetro AS — ESG Raw Dataset  |  Environmental Pillar</t>
  </si>
  <si>
    <t>Norwegian integrated oil &amp; gas  |  18,000 employees  |  12 countries  |  Net-zero 2050 pledge  |  50% Scope 1+2 reduction target by 2035 vs 2019 baseline</t>
  </si>
  <si>
    <t>Metric</t>
  </si>
  <si>
    <t>2019  (Baseline)</t>
  </si>
  <si>
    <t>2021</t>
  </si>
  <si>
    <t>2022</t>
  </si>
  <si>
    <t>2023</t>
  </si>
  <si>
    <t>Unit</t>
  </si>
  <si>
    <t xml:space="preserve">  GHG EMISSIONS</t>
  </si>
  <si>
    <t>Scope 1 emissions (direct)</t>
  </si>
  <si>
    <t>Mt CO₂e</t>
  </si>
  <si>
    <t>Operated assets only. Third-party assured by EY (2019–2022). 2023: assurance process not yet completed at publication.</t>
  </si>
  <si>
    <t>Scope 2 — market-based</t>
  </si>
  <si>
    <t>Supplier-specific emission factors where PPAs in place; residual mix elsewhere.</t>
  </si>
  <si>
    <t>Scope 2 — location-based</t>
  </si>
  <si>
    <t>Provided for reference only. Market-based figure used in all targets.</t>
  </si>
  <si>
    <t>Scope 1+2 combined (market-based)</t>
  </si>
  <si>
    <t>Sum of Scope 1 + Scope 2 market-based. 2035 target: 10.75 Mt CO₂e (50% cut vs 2019 baseline).</t>
  </si>
  <si>
    <t>Scope 1+2 % change vs 2019 baseline</t>
  </si>
  <si>
    <t>%</t>
  </si>
  <si>
    <t>Scope 3 — Cat.11 (use of sold products)</t>
  </si>
  <si>
    <t>Scope 3 — Cat.1 (purchased goods &amp; services)</t>
  </si>
  <si>
    <t>Spend-based estimate. High uncertainty — PCAF data quality score: 2/5.</t>
  </si>
  <si>
    <t>Total footprint (Scope 1+2+3 Cat.11)</t>
  </si>
  <si>
    <t>Scope 3 Cat.11 dominates. No net-zero pathway for Scope 3 published as of 2023.</t>
  </si>
  <si>
    <t xml:space="preserve">  METHANE &amp; FLARING</t>
  </si>
  <si>
    <t>Methane intensity (upstream)</t>
  </si>
  <si>
    <t>% of gas produced</t>
  </si>
  <si>
    <t>Methane absolute emissions</t>
  </si>
  <si>
    <t>kt CH₄</t>
  </si>
  <si>
    <t>Calculated from intensity × production volume. Consistent with Level 3 OGMP methodology.</t>
  </si>
  <si>
    <t>Gas flared — routine</t>
  </si>
  <si>
    <t>bcm</t>
  </si>
  <si>
    <t>Operated assets only. Equity-share flaring not reported. World Bank Zero Routine Flaring signatory since 2020.</t>
  </si>
  <si>
    <t>Flaring intensity</t>
  </si>
  <si>
    <t>m³/boe</t>
  </si>
  <si>
    <t>Improving trend. No publicly stated interim reduction target for flaring.</t>
  </si>
  <si>
    <t xml:space="preserve">  ENERGY &amp; CAPEX</t>
  </si>
  <si>
    <t>Total energy consumption</t>
  </si>
  <si>
    <t>PJ</t>
  </si>
  <si>
    <t>Operated assets. Includes fuel combustion, purchased electricity and heat.</t>
  </si>
  <si>
    <t>Renewable electricity share</t>
  </si>
  <si>
    <t>Green capex as % of total capex</t>
  </si>
  <si>
    <t>Green capex (absolute)</t>
  </si>
  <si>
    <t>USD m</t>
  </si>
  <si>
    <t xml:space="preserve">  WATER</t>
  </si>
  <si>
    <t>Total water withdrawal</t>
  </si>
  <si>
    <t>Mm³</t>
  </si>
  <si>
    <t>Water recycled / reused</t>
  </si>
  <si>
    <t>Share of total water withdrawal that is recycled. Increasing trend.</t>
  </si>
  <si>
    <t xml:space="preserve">  SPILLS</t>
  </si>
  <si>
    <t>Oil spills to environment (&gt; 1 bbl)</t>
  </si>
  <si>
    <t>number</t>
  </si>
  <si>
    <t>Operated assets. Declining trend. Volume also tracked separately.</t>
  </si>
  <si>
    <t>Volume of hydrocarbon spills</t>
  </si>
  <si>
    <t>bbls</t>
  </si>
  <si>
    <t>Total unintentional releases to environment. Excludes contained / secondary-bund spills.</t>
  </si>
  <si>
    <t xml:space="preserve">  TRANSITION &amp; GOVERNANCE INDICATORS</t>
  </si>
  <si>
    <t>R&amp;D spend on low-carbon technologies</t>
  </si>
  <si>
    <t>Includes CCS, hydrogen and offshore wind. Boundary consistent year-on-year.</t>
  </si>
  <si>
    <t>Interim GHG milestones disclosed?</t>
  </si>
  <si>
    <t>No</t>
  </si>
  <si>
    <t>Yes / No</t>
  </si>
  <si>
    <t>Third-party assurance on ESG data</t>
  </si>
  <si>
    <t>Yes (EY)</t>
  </si>
  <si>
    <t>Partial</t>
  </si>
  <si>
    <t>Yes / No / Partial</t>
  </si>
  <si>
    <t>L3</t>
  </si>
  <si>
    <t>Level 1–5</t>
  </si>
  <si>
    <t>VerdeMart Group plc — ESG Raw Dataset  |  Environmental Pillar</t>
  </si>
  <si>
    <t>UK-headquartered grocery retailer  |  2,400 stores  |  18 markets  |  310,000 employees  |  Net-zero Scope 1+2 by 2040  |  Halve Scope 3 by 2035  |  Zero single-use plastic (own-brand) by 2028</t>
  </si>
  <si>
    <t>Scope 1 (refrigerants + fleet + heating)</t>
  </si>
  <si>
    <t>Provided for reference. Market-based figure used in targets.</t>
  </si>
  <si>
    <t>Scope 3 — Cat.4 (upstream transport)</t>
  </si>
  <si>
    <t>Based on carrier fuel-use data. Coverage: 87% of transport spend.</t>
  </si>
  <si>
    <t>Scope 3 — Cat.11 (use of sold products — cooking)</t>
  </si>
  <si>
    <t>Estimated from product sales × average consumer cooking emission factors. High uncertainty.</t>
  </si>
  <si>
    <t>Scope 3 — Cat.12 (end-of-life treatment)</t>
  </si>
  <si>
    <t>Packaging and food waste disposal. Uses national waste treatment emission factors.</t>
  </si>
  <si>
    <t>Total Scope 3 (all reported categories)</t>
  </si>
  <si>
    <t>2035 target: 14.6 Mt CO₂e (−50% vs 2019). Calculate annual reduction pace needed to assess feasibility.</t>
  </si>
  <si>
    <t>Supplier coverage in Scope 3 Cat.1 (primary data)</t>
  </si>
  <si>
    <t xml:space="preserve">  ENERGY</t>
  </si>
  <si>
    <t>Total energy consumption (stores + DCs)</t>
  </si>
  <si>
    <t>Refrigeration ~45% of store energy. Covers operated stores only; franchise excluded.</t>
  </si>
  <si>
    <t>Energy intensity (per m² selling space)</t>
  </si>
  <si>
    <t>kWh/m²</t>
  </si>
  <si>
    <t>Like-for-like basis. New stores built to higher efficiency — mix effect not isolated.</t>
  </si>
  <si>
    <t xml:space="preserve">  REFRIGERANTS (HFCs)</t>
  </si>
  <si>
    <t>HFC refrigerant leakage (absolute)</t>
  </si>
  <si>
    <t>kt CO₂e</t>
  </si>
  <si>
    <t>HFC leakage rate</t>
  </si>
  <si>
    <t>As % of total refrigerant charge. Industry benchmark: ~15% considered good practice.</t>
  </si>
  <si>
    <t>Stores converted to natural refrigerants</t>
  </si>
  <si>
    <t>Share of estate using low-GWP refrigerants (CO₂ / propane). Target: all new stores from 2025.</t>
  </si>
  <si>
    <t xml:space="preserve">  PACKAGING</t>
  </si>
  <si>
    <t>Own-brand plastic packaging (absolute)</t>
  </si>
  <si>
    <t>kt</t>
  </si>
  <si>
    <t>Own-brand plastic — recyclable share</t>
  </si>
  <si>
    <t>Designed-for-recycling. Does not confirm actual recycling rates at end of consumer use.</t>
  </si>
  <si>
    <t>Single-use plastic SKUs removed (cumulative since 2019)</t>
  </si>
  <si>
    <t>number of SKUs</t>
  </si>
  <si>
    <t>Count of distinct product lines removed. 2028 target: eliminate all single-use plastic from own-brand range.</t>
  </si>
  <si>
    <t>Packaging weight intensity (own-brand)</t>
  </si>
  <si>
    <t>g per unit sold</t>
  </si>
  <si>
    <t>Intensity metric. Absolute weight reduction may differ if total sales volumes grow.</t>
  </si>
  <si>
    <t xml:space="preserve">  FOOD WASTE</t>
  </si>
  <si>
    <t>Food waste intensity</t>
  </si>
  <si>
    <t>kg/m² selling space</t>
  </si>
  <si>
    <t>Food waste redistributed to charity / food banks</t>
  </si>
  <si>
    <t>As % of total food waste. Absolute volume not separately disclosed.</t>
  </si>
  <si>
    <t>Food waste — landfill diversion rate</t>
  </si>
  <si>
    <t>Remaining waste after redistribution sent to anaerobic digestion or energy recovery.</t>
  </si>
  <si>
    <t>Water consumption (stores + DCs)</t>
  </si>
  <si>
    <t>Operated estate only. Agricultural water in supply chain (Scope 3) not reported.</t>
  </si>
  <si>
    <t>Water intensity</t>
  </si>
  <si>
    <t>litres/m²</t>
  </si>
  <si>
    <t>Improving trend driven by leak detection programmes and equipment upgrades.</t>
  </si>
  <si>
    <t xml:space="preserve">  SUPPLY CHAIN ENGAGEMENT</t>
  </si>
  <si>
    <t>Suppliers enrolled in sustainability programme</t>
  </si>
  <si>
    <t>Suppliers with SBTi-validated targets</t>
  </si>
  <si>
    <t>Of own-brand suppliers by spend. Low coverage — SBTi validation typically takes 12–24 months.</t>
  </si>
  <si>
    <t xml:space="preserve">Read the Notes column carefully before selecting any metric for your dashboard. ⚠ = flagged any data issue. </t>
  </si>
  <si>
    <t>Calculate yourself: (year − 2019) / 2019. Needed reduction pace for −50% by 2035 = −3.3 pp/year.</t>
  </si>
  <si>
    <t>ESTIMATED — not measured. IEA emission factors applied to production volumes. ~88% of total footprint.</t>
  </si>
  <si>
    <t>Defined by NordPetro's own internal taxonomy — NOT the EU Taxonomy. No reconciliation provided.</t>
  </si>
  <si>
    <t>Operated assets only — equity-share data not reported. Downstream refining is the largest user.</t>
  </si>
  <si>
    <t>2035 end-target set; no interim milestones published (e.g. 2025, 2027, 2030). Key investor red flag.</t>
  </si>
  <si>
    <t>EY limited assurance on 2019–2022 data. 2023 data: assurance process not yet completed at publication.</t>
  </si>
  <si>
    <t>Level 3 = site-level estimates. Level 5 = direct measurement (gold standard). No upgrade timeline disclosed.</t>
  </si>
  <si>
    <t>Notes</t>
  </si>
  <si>
    <t>TARGET AUDIENCE: Institutional investor (ESG-integrated pension fund)
PRIMARY QUESTION: Is NordPetro's transition credible — and is the 2035 target on track?</t>
  </si>
  <si>
    <t>OGMP 2.0* reporting level</t>
  </si>
  <si>
    <t>*OGMP 2.0 is the United Nations’ leading methane‑reporting and mitigation framework for the oil and gas sector, designed to shift companies from estimated emissions to measurement‑based, transparent reporting. It is widely considered the gold standard for methane disclosure and is rapidly expanding across the global industry.
Level 1–2: Basic reporting using emission factors.
Level 3–4: Increasing use of direct measurements.
Level 5: Full, asset‑level, measurement‑based reporting.</t>
  </si>
  <si>
    <t xml:space="preserve">TARGET AUDIENCE: Head of Sustainability, major FMCG supplier
PRIMARY QUESTION: Is VerdeMart making real progress on its Scope 3 supply-chain target — and what emissions reduction will they demand from us by 2027?
</t>
  </si>
  <si>
    <t>Operated stores and owned logistics fleet. Franchise stores excluded (~18% of estate).</t>
  </si>
  <si>
    <t>Largest category (~71% of total). Spend-based estimation. Methodology last updated 2020 — not refreshed since.</t>
  </si>
  <si>
    <t>Share of Cat.1 spend with supplier-specific data. Remainder uses spend-based estimate.</t>
  </si>
  <si>
    <t>PPAs (62% of RE) and RECs (38%). REC quality not disaggregated in public report.</t>
  </si>
  <si>
    <t>Operated stores only. Franchise stores (~18%) excluded.</t>
  </si>
  <si>
    <t>Definition changed in 2022 to include reusable packaging returns. Pre-2022 NOT restated — trend NOT comparable.</t>
  </si>
  <si>
    <t>Intensity only — absolute tonnage NOT disclosed. Estate is expanding, so absolute waste may be rising.</t>
  </si>
  <si>
    <t>Share of own-brand suppliers by spend. Enrolment does not verify emissions reduction achieved.</t>
  </si>
  <si>
    <t>Includes Renewable Energy Certificates (RECs) in markets where PPAs unavailable. REC additionality varies significantly by country.</t>
  </si>
  <si>
    <t>Includes Carbon Capture &amp; Storage (CCS), offshore wind equity stakes, and hydrogen R&amp;D. Internal classification boundaries apply.</t>
  </si>
  <si>
    <t xml:space="preserve">Includes Power Purchase Agreements (PPAs) and on-site generation. Excludes upstream diesel used in remote operations. </t>
  </si>
  <si>
    <t>Self-reported under Oil and Gas Methane Partnership -OGMP* 2.0- Level 3 — NOT Level 5 (gold standard with direct measurement).</t>
  </si>
  <si>
    <t>* AuM = Assets under Management — the total market value of all the financial assets a firm or individual manages on behalf of clients</t>
  </si>
  <si>
    <t>Change vs 2019</t>
  </si>
  <si>
    <t>% Change</t>
  </si>
  <si>
    <t>year value (Mt CO₂e)</t>
  </si>
  <si>
    <t>benefit from renewable energy contracts, PPAs, or low-carbon suppliers</t>
  </si>
  <si>
    <r>
      <t xml:space="preserve">what emissions </t>
    </r>
    <r>
      <rPr>
        <i/>
        <sz val="11"/>
        <color theme="1"/>
        <rFont val="Calibri"/>
        <family val="2"/>
        <charset val="1"/>
      </rPr>
      <t>would have been</t>
    </r>
    <r>
      <rPr>
        <sz val="11"/>
        <color theme="1"/>
        <rFont val="Calibri"/>
        <family val="2"/>
        <charset val="1"/>
      </rPr>
      <t xml:space="preserve"> if using average grid electricity</t>
    </r>
  </si>
  <si>
    <r>
      <t xml:space="preserve">what emissions are </t>
    </r>
    <r>
      <rPr>
        <i/>
        <sz val="11"/>
        <color theme="1"/>
        <rFont val="Calibri"/>
        <family val="2"/>
        <charset val="1"/>
      </rPr>
      <t>reported after cleaner procurement choices</t>
    </r>
  </si>
  <si>
    <t>how much methane is emitted per unit of production (usually oil or natural gas).</t>
  </si>
  <si>
    <r>
      <t>total amount of methane released</t>
    </r>
    <r>
      <rPr>
        <sz val="11"/>
        <color theme="1"/>
        <rFont val="Calibri"/>
        <family val="2"/>
        <charset val="1"/>
      </rPr>
      <t xml:space="preserve"> over a period of time.</t>
    </r>
  </si>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</sst>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8" x14ac:knownFonts="1">
    <font>
      <sz val="11"/>
      <color theme="1"/>
      <name val="Calibri"/>
      <family val="2"/>
      <charset val="1"/>
    </font>
    <font>
      <b/>
      <sz val="13"/>
      <color rgb="FFFFFFFF"/>
      <name val="Arial"/>
      <charset val="1"/>
    </font>
    <font>
      <i/>
      <sz val="9"/>
      <color rgb="FFFFFFFF"/>
      <name val="Arial"/>
      <charset val="1"/>
    </font>
    <font>
      <sz val="9"/>
      <color rgb="FF000000"/>
      <name val="Arial"/>
      <charset val="1"/>
    </font>
    <font>
      <b/>
      <sz val="9"/>
      <color rgb="FF833C00"/>
      <name val="Arial"/>
      <charset val="1"/>
    </font>
    <font>
      <b/>
      <sz val="9"/>
      <color rgb="FFFFFFFF"/>
      <name val="Arial"/>
      <charset val="1"/>
    </font>
    <font>
      <b/>
      <sz val="10"/>
      <color rgb="FFFFFFFF"/>
      <name val="Arial"/>
      <charset val="1"/>
    </font>
    <font>
      <sz val="8"/>
      <color rgb="FF595959"/>
      <name val="Arial"/>
      <charset val="1"/>
    </font>
    <font>
      <sz val="8"/>
      <color rgb="FF000000"/>
      <name val="Arial"/>
      <family val="2"/>
    </font>
    <font>
      <sz val="8"/>
      <color rgb="FF595959"/>
      <name val="Arial"/>
      <family val="2"/>
    </font>
    <font>
      <sz val="9"/>
      <color rgb="FF000000"/>
      <name val="Arial"/>
      <family val="2"/>
    </font>
    <font>
      <b/>
      <sz val="9"/>
      <color rgb="FFFFFFFF"/>
      <name val="Arial"/>
      <family val="2"/>
    </font>
    <font>
      <b/>
      <sz val="9"/>
      <color theme="0"/>
      <name val="Arial"/>
      <family val="2"/>
    </font>
    <font>
      <sz val="11"/>
      <color theme="1"/>
      <name val="Calibri"/>
      <family val="2"/>
      <charset val="1"/>
    </font>
    <font>
      <b/>
      <sz val="11"/>
      <color theme="1"/>
      <name val="Calibri"/>
      <family val="2"/>
      <charset val="1"/>
    </font>
    <font>
      <b/>
      <sz val="9"/>
      <color rgb="FF000000"/>
      <name val="Arial"/>
      <family val="2"/>
    </font>
    <font>
      <b/>
      <sz val="11"/>
      <color theme="1"/>
      <name val="Calibri"/>
      <family val="2"/>
    </font>
    <font>
      <i/>
      <sz val="11"/>
      <color theme="1"/>
      <name val="Calibri"/>
      <family val="2"/>
      <charset val="1"/>
    </font>
  </fonts>
  <fills count="14">
    <fill>
      <patternFill patternType="none"/>
    </fill>
    <fill>
      <patternFill patternType="gray125"/>
    </fill>
    <fill>
      <patternFill patternType="solid">
        <fgColor rgb="FFC00000"/>
        <bgColor rgb="FF800000"/>
      </patternFill>
    </fill>
    <fill>
      <patternFill patternType="solid">
        <fgColor rgb="FF922B21"/>
        <bgColor rgb="FF833C00"/>
      </patternFill>
    </fill>
    <fill>
      <patternFill patternType="solid">
        <fgColor rgb="FFFCE4D6"/>
        <bgColor rgb="FFFFF2CC"/>
      </patternFill>
    </fill>
    <fill>
      <patternFill patternType="solid">
        <fgColor rgb="FFFFF2CC"/>
        <bgColor rgb="FFFCE4D6"/>
      </patternFill>
    </fill>
    <fill>
      <patternFill patternType="solid">
        <fgColor rgb="FFD9D9D9"/>
        <bgColor rgb="FFDEEAF1"/>
      </patternFill>
    </fill>
    <fill>
      <patternFill patternType="solid">
        <fgColor rgb="FFFFFFFF"/>
        <bgColor rgb="FFF2F2F2"/>
      </patternFill>
    </fill>
    <fill>
      <patternFill patternType="solid">
        <fgColor theme="0"/>
        <bgColor rgb="FFE2EFDA"/>
      </patternFill>
    </fill>
    <fill>
      <patternFill patternType="solid">
        <fgColor theme="0"/>
        <bgColor rgb="FFF2F2F2"/>
      </patternFill>
    </fill>
    <fill>
      <patternFill patternType="solid">
        <fgColor theme="0"/>
        <bgColor rgb="FFFCE4D6"/>
      </patternFill>
    </fill>
    <fill>
      <patternFill patternType="solid">
        <fgColor theme="1"/>
        <bgColor rgb="FF1D6A2D"/>
      </patternFill>
    </fill>
    <fill>
      <patternFill patternType="solid">
        <fgColor theme="1" tint="0.34998626667073579"/>
        <bgColor rgb="FF375623"/>
      </patternFill>
    </fill>
    <fill>
      <patternFill patternType="solid">
        <fgColor theme="0" tint="-4.9989318521683403E-2"/>
        <bgColor rgb="FFDEEAF1"/>
      </patternFill>
    </fill>
  </fills>
  <borders count="6">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style="thin">
        <color rgb="FFD9D9D9"/>
      </left>
      <right style="thin">
        <color rgb="FFD9D9D9"/>
      </right>
      <top/>
      <bottom/>
      <diagonal/>
    </border>
  </borders>
  <cellStyleXfs count="2">
    <xf numFmtId="0" fontId="0" fillId="0" borderId="0"/>
    <xf numFmtId="9" fontId="13" fillId="0" borderId="0" applyFont="0" applyFill="0" applyBorder="0" applyAlignment="0" applyProtection="0"/>
  </cellStyleXfs>
  <cellXfs count="57">
    <xf numFmtId="0" fontId="0" fillId="0" borderId="0" xfId="0"/>
    <xf numFmtId="0" fontId="0" fillId="6" borderId="0" xfId="0" applyFill="1"/>
    <xf numFmtId="0" fontId="5" fillId="2" borderId="1" xfId="0" applyFont="1" applyFill="1" applyBorder="1" applyAlignment="1">
      <alignment horizontal="center" vertical="center" wrapText="1"/>
    </xf>
    <xf numFmtId="0" fontId="3" fillId="7" borderId="2" xfId="0" applyFont="1" applyFill="1" applyBorder="1" applyAlignment="1">
      <alignment horizontal="left" vertical="center" indent="1"/>
    </xf>
    <xf numFmtId="0" fontId="7" fillId="7" borderId="2" xfId="0" applyFont="1" applyFill="1" applyBorder="1" applyAlignment="1">
      <alignment horizontal="center" vertical="center" wrapText="1"/>
    </xf>
    <xf numFmtId="0" fontId="7" fillId="7" borderId="2" xfId="0" applyFont="1" applyFill="1" applyBorder="1" applyAlignment="1">
      <alignment horizontal="left" vertical="center" wrapText="1"/>
    </xf>
    <xf numFmtId="164" fontId="3" fillId="7" borderId="2" xfId="0" applyNumberFormat="1" applyFont="1" applyFill="1" applyBorder="1" applyAlignment="1">
      <alignment horizontal="center" vertical="center"/>
    </xf>
    <xf numFmtId="0" fontId="0" fillId="0" borderId="0" xfId="0" applyAlignment="1">
      <alignment wrapText="1"/>
    </xf>
    <xf numFmtId="0" fontId="12" fillId="2" borderId="1" xfId="0" applyFont="1" applyFill="1" applyBorder="1" applyAlignment="1">
      <alignment horizontal="center" vertical="center" wrapText="1"/>
    </xf>
    <xf numFmtId="0" fontId="0" fillId="6" borderId="0" xfId="0" applyFill="1" applyAlignment="1">
      <alignment wrapText="1"/>
    </xf>
    <xf numFmtId="0" fontId="8" fillId="7" borderId="3" xfId="0" applyFont="1" applyFill="1" applyBorder="1" applyAlignment="1">
      <alignment vertical="center" wrapText="1"/>
    </xf>
    <xf numFmtId="0" fontId="8" fillId="7" borderId="4" xfId="0" applyFont="1" applyFill="1" applyBorder="1" applyAlignment="1">
      <alignment vertical="center" wrapText="1"/>
    </xf>
    <xf numFmtId="0" fontId="3" fillId="8" borderId="2" xfId="0" applyFont="1" applyFill="1" applyBorder="1" applyAlignment="1">
      <alignment horizontal="left" vertical="center" indent="1"/>
    </xf>
    <xf numFmtId="2" fontId="3" fillId="8" borderId="2" xfId="0" applyNumberFormat="1" applyFont="1" applyFill="1" applyBorder="1" applyAlignment="1">
      <alignment horizontal="center" vertical="center"/>
    </xf>
    <xf numFmtId="0" fontId="7" fillId="8" borderId="2" xfId="0" applyFont="1" applyFill="1" applyBorder="1" applyAlignment="1">
      <alignment horizontal="center" vertical="center" wrapText="1"/>
    </xf>
    <xf numFmtId="0" fontId="9" fillId="8" borderId="2" xfId="0" applyFont="1" applyFill="1" applyBorder="1" applyAlignment="1">
      <alignment horizontal="left" vertical="center" wrapText="1"/>
    </xf>
    <xf numFmtId="0" fontId="3" fillId="9" borderId="2" xfId="0" applyFont="1" applyFill="1" applyBorder="1" applyAlignment="1">
      <alignment horizontal="left" vertical="center" indent="1"/>
    </xf>
    <xf numFmtId="2" fontId="3" fillId="9" borderId="2" xfId="0" applyNumberFormat="1" applyFont="1" applyFill="1" applyBorder="1" applyAlignment="1">
      <alignment horizontal="center" vertical="center"/>
    </xf>
    <xf numFmtId="0" fontId="7" fillId="9" borderId="2" xfId="0" applyFont="1" applyFill="1" applyBorder="1" applyAlignment="1">
      <alignment horizontal="center" vertical="center" wrapText="1"/>
    </xf>
    <xf numFmtId="0" fontId="9" fillId="9" borderId="2" xfId="0" applyFont="1" applyFill="1" applyBorder="1" applyAlignment="1">
      <alignment horizontal="left" vertical="center" wrapText="1"/>
    </xf>
    <xf numFmtId="0" fontId="7" fillId="8" borderId="2" xfId="0" applyFont="1" applyFill="1" applyBorder="1" applyAlignment="1">
      <alignment horizontal="left" vertical="center" wrapText="1"/>
    </xf>
    <xf numFmtId="0" fontId="7" fillId="9" borderId="2" xfId="0" applyFont="1" applyFill="1" applyBorder="1" applyAlignment="1">
      <alignment horizontal="left" vertical="center" wrapText="1"/>
    </xf>
    <xf numFmtId="0" fontId="3" fillId="10" borderId="2" xfId="0" applyFont="1" applyFill="1" applyBorder="1" applyAlignment="1">
      <alignment horizontal="left" vertical="center" indent="1"/>
    </xf>
    <xf numFmtId="0" fontId="3" fillId="10" borderId="2" xfId="0" applyFont="1" applyFill="1" applyBorder="1" applyAlignment="1">
      <alignment horizontal="center" vertical="center"/>
    </xf>
    <xf numFmtId="0" fontId="7" fillId="10" borderId="2" xfId="0" applyFont="1" applyFill="1" applyBorder="1" applyAlignment="1">
      <alignment horizontal="center" vertical="center" wrapText="1"/>
    </xf>
    <xf numFmtId="164" fontId="3" fillId="10" borderId="2" xfId="0" applyNumberFormat="1" applyFont="1" applyFill="1" applyBorder="1" applyAlignment="1">
      <alignment horizontal="center" vertical="center"/>
    </xf>
    <xf numFmtId="164" fontId="3" fillId="9" borderId="2" xfId="0" applyNumberFormat="1" applyFont="1" applyFill="1" applyBorder="1" applyAlignment="1">
      <alignment horizontal="center" vertical="center"/>
    </xf>
    <xf numFmtId="165" fontId="3" fillId="10" borderId="2" xfId="0" applyNumberFormat="1" applyFont="1" applyFill="1" applyBorder="1" applyAlignment="1">
      <alignment horizontal="center" vertical="center"/>
    </xf>
    <xf numFmtId="164" fontId="3" fillId="8" borderId="2" xfId="0" applyNumberFormat="1" applyFont="1" applyFill="1" applyBorder="1" applyAlignment="1">
      <alignment horizontal="center" vertical="center"/>
    </xf>
    <xf numFmtId="165" fontId="3" fillId="9" borderId="2" xfId="0" applyNumberFormat="1" applyFont="1" applyFill="1" applyBorder="1" applyAlignment="1">
      <alignment horizontal="center" vertical="center"/>
    </xf>
    <xf numFmtId="0" fontId="5" fillId="11"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2" fontId="3" fillId="10" borderId="2" xfId="0" applyNumberFormat="1" applyFont="1" applyFill="1" applyBorder="1" applyAlignment="1">
      <alignment horizontal="center" vertical="center"/>
    </xf>
    <xf numFmtId="165" fontId="3" fillId="8" borderId="2" xfId="0" applyNumberFormat="1" applyFont="1" applyFill="1" applyBorder="1" applyAlignment="1">
      <alignment horizontal="center" vertical="center"/>
    </xf>
    <xf numFmtId="0" fontId="6" fillId="11" borderId="0" xfId="0" applyFont="1" applyFill="1" applyBorder="1" applyAlignment="1">
      <alignment vertical="center"/>
    </xf>
    <xf numFmtId="0" fontId="3" fillId="8" borderId="2" xfId="0" applyFont="1" applyFill="1" applyBorder="1" applyAlignment="1">
      <alignment horizontal="center" vertical="center"/>
    </xf>
    <xf numFmtId="0" fontId="1" fillId="2" borderId="0" xfId="0" applyFont="1" applyFill="1" applyBorder="1" applyAlignment="1">
      <alignment horizontal="left" vertical="center" wrapText="1" indent="1"/>
    </xf>
    <xf numFmtId="0" fontId="2" fillId="3" borderId="0" xfId="0" applyFont="1" applyFill="1" applyBorder="1" applyAlignment="1">
      <alignment horizontal="left" vertical="center" wrapText="1" indent="1"/>
    </xf>
    <xf numFmtId="0" fontId="3" fillId="4" borderId="0" xfId="0" applyFont="1" applyFill="1" applyBorder="1" applyAlignment="1">
      <alignment horizontal="left" vertical="center" wrapText="1" indent="1"/>
    </xf>
    <xf numFmtId="0" fontId="4" fillId="5" borderId="0" xfId="0" applyFont="1" applyFill="1" applyBorder="1" applyAlignment="1">
      <alignment horizontal="left" vertical="center" wrapText="1" indent="1"/>
    </xf>
    <xf numFmtId="0" fontId="6" fillId="2" borderId="0" xfId="0" applyFont="1" applyFill="1" applyBorder="1" applyAlignment="1">
      <alignment horizontal="left" vertical="center" indent="1"/>
    </xf>
    <xf numFmtId="0" fontId="8" fillId="7" borderId="3" xfId="0" applyFont="1" applyFill="1" applyBorder="1" applyAlignment="1">
      <alignment horizontal="left" vertical="center" wrapText="1"/>
    </xf>
    <xf numFmtId="0" fontId="8" fillId="7" borderId="4" xfId="0" applyFont="1" applyFill="1" applyBorder="1" applyAlignment="1">
      <alignment horizontal="left" vertical="center" wrapText="1"/>
    </xf>
    <xf numFmtId="0" fontId="1" fillId="11" borderId="0" xfId="0" applyFont="1" applyFill="1" applyBorder="1" applyAlignment="1">
      <alignment horizontal="left" vertical="center" wrapText="1" indent="1"/>
    </xf>
    <xf numFmtId="0" fontId="2" fillId="12" borderId="0" xfId="0" applyFont="1" applyFill="1" applyBorder="1" applyAlignment="1">
      <alignment horizontal="left" vertical="center" wrapText="1" indent="1"/>
    </xf>
    <xf numFmtId="0" fontId="10" fillId="13" borderId="0" xfId="0" applyFont="1" applyFill="1" applyBorder="1" applyAlignment="1">
      <alignment horizontal="left" vertical="center" wrapText="1" indent="1"/>
    </xf>
    <xf numFmtId="0" fontId="3" fillId="13" borderId="0" xfId="0" applyFont="1" applyFill="1" applyBorder="1" applyAlignment="1">
      <alignment horizontal="left" vertical="center" wrapText="1" indent="1"/>
    </xf>
    <xf numFmtId="0" fontId="6" fillId="11" borderId="0" xfId="0" applyFont="1" applyFill="1" applyBorder="1" applyAlignment="1">
      <alignment horizontal="left" vertical="center" indent="1"/>
    </xf>
    <xf numFmtId="0" fontId="14" fillId="0" borderId="0" xfId="0" applyFont="1" applyAlignment="1">
      <alignment horizontal="center" vertical="center" wrapText="1"/>
    </xf>
    <xf numFmtId="0" fontId="0" fillId="0" borderId="0" xfId="0" applyAlignment="1">
      <alignment vertical="center" wrapText="1"/>
    </xf>
    <xf numFmtId="10" fontId="0" fillId="0" borderId="0" xfId="0" applyNumberFormat="1" applyAlignment="1">
      <alignment vertical="center" wrapText="1"/>
    </xf>
    <xf numFmtId="10" fontId="14" fillId="0" borderId="0" xfId="0" applyNumberFormat="1" applyFont="1" applyAlignment="1">
      <alignment vertical="center" wrapText="1"/>
    </xf>
    <xf numFmtId="2" fontId="15" fillId="9" borderId="2" xfId="0" applyNumberFormat="1" applyFont="1" applyFill="1" applyBorder="1" applyAlignment="1">
      <alignment horizontal="center" vertical="center"/>
    </xf>
    <xf numFmtId="9" fontId="0" fillId="0" borderId="0" xfId="1" applyFont="1"/>
    <xf numFmtId="9" fontId="16" fillId="0" borderId="0" xfId="1" applyFont="1"/>
    <xf numFmtId="2" fontId="0" fillId="0" borderId="0" xfId="0" applyNumberFormat="1"/>
    <xf numFmtId="0" fontId="10" fillId="10" borderId="5" xfId="0" applyFont="1" applyFill="1" applyBorder="1" applyAlignment="1">
      <alignment horizontal="center" vertical="center"/>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1D6A2D"/>
      <rgbColor rgb="FF000080"/>
      <rgbColor rgb="FF808000"/>
      <rgbColor rgb="FF800080"/>
      <rgbColor rgb="FF008080"/>
      <rgbColor rgb="FFC0C0C0"/>
      <rgbColor rgb="FF808080"/>
      <rgbColor rgb="FF9999FF"/>
      <rgbColor rgb="FF833C00"/>
      <rgbColor rgb="FFFFF2CC"/>
      <rgbColor rgb="FFDEEA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22B21"/>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0"/>
  <sheetViews>
    <sheetView showGridLines="0" tabSelected="1" zoomScale="94" zoomScaleNormal="100" workbookViewId="0">
      <pane xSplit="1" ySplit="8" topLeftCell="B9" activePane="bottomRight" state="frozen"/>
      <selection pane="topRight" activeCell="B1" sqref="B1"/>
      <selection pane="bottomLeft" activeCell="A9" sqref="A9"/>
      <selection pane="bottomRight" activeCell="H37" sqref="H37"/>
    </sheetView>
  </sheetViews>
  <sheetFormatPr defaultColWidth="8.6640625" defaultRowHeight="14.4" x14ac:dyDescent="0.3"/>
  <cols>
    <col min="1" max="1" width="34" customWidth="1"/>
    <col min="2" max="6" width="10" customWidth="1"/>
    <col min="7" max="7" width="77.33203125" style="7" customWidth="1"/>
    <col min="10" max="10" width="25.5546875" customWidth="1"/>
    <col min="11" max="11" width="14.33203125" bestFit="1" customWidth="1"/>
    <col min="12" max="12" width="9.21875" bestFit="1" customWidth="1"/>
  </cols>
  <sheetData>
    <row r="1" spans="1:13" ht="27.75" customHeight="1" x14ac:dyDescent="0.3">
      <c r="A1" s="36" t="s">
        <v>0</v>
      </c>
      <c r="B1" s="36"/>
      <c r="C1" s="36"/>
      <c r="D1" s="36"/>
      <c r="E1" s="36"/>
      <c r="F1" s="36"/>
      <c r="G1" s="36"/>
    </row>
    <row r="2" spans="1:13" ht="18" customHeight="1" x14ac:dyDescent="0.3">
      <c r="A2" s="37" t="s">
        <v>1</v>
      </c>
      <c r="B2" s="37"/>
      <c r="C2" s="37"/>
      <c r="D2" s="37"/>
      <c r="E2" s="37"/>
      <c r="F2" s="37"/>
      <c r="G2" s="37"/>
    </row>
    <row r="3" spans="1:13" ht="28.2" customHeight="1" x14ac:dyDescent="0.3">
      <c r="A3" s="38" t="s">
        <v>131</v>
      </c>
      <c r="B3" s="38"/>
      <c r="C3" s="38"/>
      <c r="D3" s="38"/>
      <c r="E3" s="38"/>
      <c r="F3" s="38"/>
      <c r="G3" s="38"/>
    </row>
    <row r="4" spans="1:13" ht="15.75" customHeight="1" x14ac:dyDescent="0.3">
      <c r="A4" s="39" t="s">
        <v>122</v>
      </c>
      <c r="B4" s="39"/>
      <c r="C4" s="39"/>
      <c r="D4" s="39"/>
      <c r="E4" s="39"/>
      <c r="F4" s="39"/>
      <c r="G4" s="39"/>
    </row>
    <row r="5" spans="1:13" ht="4.5" customHeight="1" x14ac:dyDescent="0.3">
      <c r="A5" s="1"/>
      <c r="B5" s="1"/>
      <c r="C5" s="1"/>
      <c r="D5" s="1"/>
      <c r="E5" s="1"/>
      <c r="F5" s="1"/>
      <c r="G5" s="9"/>
    </row>
    <row r="6" spans="1:13" ht="4.5" customHeight="1" x14ac:dyDescent="0.3">
      <c r="A6" s="1"/>
      <c r="B6" s="1"/>
      <c r="C6" s="1"/>
      <c r="D6" s="1"/>
      <c r="E6" s="1"/>
      <c r="F6" s="1"/>
      <c r="G6" s="9"/>
    </row>
    <row r="7" spans="1:13" ht="4.5" customHeight="1" x14ac:dyDescent="0.3">
      <c r="A7" s="1"/>
      <c r="B7" s="1"/>
      <c r="C7" s="1"/>
      <c r="D7" s="1"/>
      <c r="E7" s="1"/>
      <c r="F7" s="1"/>
      <c r="G7" s="9"/>
    </row>
    <row r="8" spans="1:13" ht="27.75" customHeight="1" x14ac:dyDescent="0.3">
      <c r="A8" s="2" t="s">
        <v>2</v>
      </c>
      <c r="B8" s="2" t="s">
        <v>3</v>
      </c>
      <c r="C8" s="2" t="s">
        <v>4</v>
      </c>
      <c r="D8" s="8" t="s">
        <v>5</v>
      </c>
      <c r="E8" s="8" t="s">
        <v>6</v>
      </c>
      <c r="F8" s="8" t="s">
        <v>7</v>
      </c>
      <c r="G8" s="2" t="s">
        <v>130</v>
      </c>
    </row>
    <row r="9" spans="1:13" ht="15.75" customHeight="1" x14ac:dyDescent="0.3">
      <c r="A9" s="40" t="s">
        <v>8</v>
      </c>
      <c r="B9" s="40"/>
      <c r="C9" s="40"/>
      <c r="D9" s="40"/>
      <c r="E9" s="40"/>
      <c r="F9" s="40"/>
      <c r="G9" s="40"/>
    </row>
    <row r="10" spans="1:13" ht="27.6" customHeight="1" x14ac:dyDescent="0.3">
      <c r="A10" s="12" t="s">
        <v>9</v>
      </c>
      <c r="B10" s="13">
        <v>18.399999999999999</v>
      </c>
      <c r="C10" s="13">
        <v>17.2</v>
      </c>
      <c r="D10" s="13">
        <v>16.8</v>
      </c>
      <c r="E10" s="13">
        <v>16.100000000000001</v>
      </c>
      <c r="F10" s="14" t="s">
        <v>10</v>
      </c>
      <c r="G10" s="15" t="s">
        <v>11</v>
      </c>
    </row>
    <row r="11" spans="1:13" ht="15.75" customHeight="1" x14ac:dyDescent="0.3">
      <c r="A11" s="16" t="s">
        <v>12</v>
      </c>
      <c r="B11" s="17">
        <v>3.1</v>
      </c>
      <c r="C11" s="17">
        <v>2.6</v>
      </c>
      <c r="D11" s="17">
        <v>2.1</v>
      </c>
      <c r="E11" s="17">
        <v>1.9</v>
      </c>
      <c r="F11" s="18" t="s">
        <v>10</v>
      </c>
      <c r="G11" s="19" t="s">
        <v>13</v>
      </c>
      <c r="H11" s="55">
        <f>E12-E11</f>
        <v>0.89999999999999991</v>
      </c>
      <c r="I11" t="s">
        <v>151</v>
      </c>
      <c r="J11" s="48" t="s">
        <v>150</v>
      </c>
      <c r="K11" s="48" t="s">
        <v>148</v>
      </c>
      <c r="L11" s="48" t="s">
        <v>149</v>
      </c>
    </row>
    <row r="12" spans="1:13" ht="15.75" customHeight="1" x14ac:dyDescent="0.3">
      <c r="A12" s="12" t="s">
        <v>14</v>
      </c>
      <c r="B12" s="13">
        <v>4</v>
      </c>
      <c r="C12" s="13">
        <v>3.5</v>
      </c>
      <c r="D12" s="13">
        <v>3</v>
      </c>
      <c r="E12" s="13">
        <v>2.8</v>
      </c>
      <c r="F12" s="14" t="s">
        <v>10</v>
      </c>
      <c r="G12" s="20" t="s">
        <v>15</v>
      </c>
      <c r="H12" t="s">
        <v>153</v>
      </c>
      <c r="J12" s="49">
        <v>21.5</v>
      </c>
      <c r="K12" s="49">
        <v>0</v>
      </c>
      <c r="L12" s="50">
        <v>0</v>
      </c>
    </row>
    <row r="13" spans="1:13" ht="15.75" customHeight="1" x14ac:dyDescent="0.3">
      <c r="A13" s="16" t="s">
        <v>16</v>
      </c>
      <c r="B13" s="17">
        <v>21.5</v>
      </c>
      <c r="C13" s="17">
        <v>19.8</v>
      </c>
      <c r="D13" s="17">
        <v>18.899999999999999</v>
      </c>
      <c r="E13" s="17">
        <v>18</v>
      </c>
      <c r="F13" s="18" t="s">
        <v>10</v>
      </c>
      <c r="G13" s="21" t="s">
        <v>17</v>
      </c>
      <c r="H13" t="s">
        <v>152</v>
      </c>
      <c r="J13" s="49">
        <v>19.8</v>
      </c>
      <c r="K13" s="49">
        <f>J12-J13</f>
        <v>1.6999999999999993</v>
      </c>
      <c r="L13" s="51">
        <f>K13/J12</f>
        <v>7.9069767441860436E-2</v>
      </c>
    </row>
    <row r="14" spans="1:13" ht="15.75" customHeight="1" x14ac:dyDescent="0.3">
      <c r="A14" s="22" t="s">
        <v>18</v>
      </c>
      <c r="B14" s="52">
        <v>0</v>
      </c>
      <c r="C14" s="52">
        <v>-7.9000000000000001E-2</v>
      </c>
      <c r="D14" s="52">
        <v>-0.121</v>
      </c>
      <c r="E14" s="52">
        <v>-0.16300000000000001</v>
      </c>
      <c r="F14" s="24" t="s">
        <v>19</v>
      </c>
      <c r="G14" s="21" t="s">
        <v>123</v>
      </c>
      <c r="J14" s="49">
        <v>18.899999999999999</v>
      </c>
      <c r="K14" s="49">
        <f>J12-J14</f>
        <v>2.6000000000000014</v>
      </c>
      <c r="L14" s="51">
        <f>K14/J12</f>
        <v>0.1209302325581396</v>
      </c>
    </row>
    <row r="15" spans="1:13" ht="15.75" customHeight="1" x14ac:dyDescent="0.3">
      <c r="A15" s="22" t="s">
        <v>20</v>
      </c>
      <c r="B15" s="25">
        <v>310</v>
      </c>
      <c r="C15" s="25">
        <v>298</v>
      </c>
      <c r="D15" s="25">
        <v>285</v>
      </c>
      <c r="E15" s="25">
        <v>274</v>
      </c>
      <c r="F15" s="24" t="s">
        <v>10</v>
      </c>
      <c r="G15" s="21" t="s">
        <v>124</v>
      </c>
      <c r="J15" s="49">
        <v>18</v>
      </c>
      <c r="K15" s="49">
        <f>J12-J15</f>
        <v>3.5</v>
      </c>
      <c r="L15" s="51">
        <f>K15/J12</f>
        <v>0.16279069767441862</v>
      </c>
      <c r="M15" s="53">
        <f>L15/3</f>
        <v>5.4263565891472874E-2</v>
      </c>
    </row>
    <row r="16" spans="1:13" ht="15.75" customHeight="1" x14ac:dyDescent="0.3">
      <c r="A16" s="12" t="s">
        <v>21</v>
      </c>
      <c r="B16" s="13">
        <v>4.2</v>
      </c>
      <c r="C16" s="13">
        <v>4</v>
      </c>
      <c r="D16" s="13">
        <v>3.9</v>
      </c>
      <c r="E16" s="13">
        <v>3.7</v>
      </c>
      <c r="F16" s="14" t="s">
        <v>10</v>
      </c>
      <c r="G16" s="20" t="s">
        <v>22</v>
      </c>
    </row>
    <row r="17" spans="1:8" ht="15.75" customHeight="1" x14ac:dyDescent="0.3">
      <c r="A17" s="16" t="s">
        <v>23</v>
      </c>
      <c r="B17" s="26">
        <v>331.5</v>
      </c>
      <c r="C17" s="26">
        <v>317.8</v>
      </c>
      <c r="D17" s="26">
        <v>303.89999999999998</v>
      </c>
      <c r="E17" s="26">
        <v>292</v>
      </c>
      <c r="F17" s="18" t="s">
        <v>10</v>
      </c>
      <c r="G17" s="21" t="s">
        <v>24</v>
      </c>
      <c r="H17" s="54">
        <f>(E15+E16)/E17</f>
        <v>0.95102739726027397</v>
      </c>
    </row>
    <row r="18" spans="1:8" ht="15.75" customHeight="1" x14ac:dyDescent="0.3">
      <c r="A18" s="40" t="s">
        <v>25</v>
      </c>
      <c r="B18" s="40"/>
      <c r="C18" s="40"/>
      <c r="D18" s="40"/>
      <c r="E18" s="40"/>
      <c r="F18" s="40"/>
      <c r="G18" s="40"/>
    </row>
    <row r="19" spans="1:8" ht="26.4" customHeight="1" x14ac:dyDescent="0.3">
      <c r="A19" s="22" t="s">
        <v>26</v>
      </c>
      <c r="B19" s="27">
        <v>0.28000000000000003</v>
      </c>
      <c r="C19" s="27">
        <v>0.24</v>
      </c>
      <c r="D19" s="27">
        <v>0.21</v>
      </c>
      <c r="E19" s="27">
        <v>0.19</v>
      </c>
      <c r="F19" s="24" t="s">
        <v>27</v>
      </c>
      <c r="G19" s="21" t="s">
        <v>146</v>
      </c>
      <c r="H19" t="s">
        <v>154</v>
      </c>
    </row>
    <row r="20" spans="1:8" ht="15.75" customHeight="1" x14ac:dyDescent="0.3">
      <c r="A20" s="12" t="s">
        <v>28</v>
      </c>
      <c r="B20" s="28">
        <v>890</v>
      </c>
      <c r="C20" s="28">
        <v>760</v>
      </c>
      <c r="D20" s="28">
        <v>670</v>
      </c>
      <c r="E20" s="28">
        <v>605</v>
      </c>
      <c r="F20" s="14" t="s">
        <v>29</v>
      </c>
      <c r="G20" s="20" t="s">
        <v>30</v>
      </c>
      <c r="H20" t="s">
        <v>155</v>
      </c>
    </row>
    <row r="21" spans="1:8" ht="15.75" customHeight="1" x14ac:dyDescent="0.3">
      <c r="A21" s="16" t="s">
        <v>31</v>
      </c>
      <c r="B21" s="17">
        <v>1.8</v>
      </c>
      <c r="C21" s="17">
        <v>1.4</v>
      </c>
      <c r="D21" s="17">
        <v>1.2</v>
      </c>
      <c r="E21" s="17">
        <v>1.1000000000000001</v>
      </c>
      <c r="F21" s="18" t="s">
        <v>32</v>
      </c>
      <c r="G21" s="19" t="s">
        <v>33</v>
      </c>
    </row>
    <row r="22" spans="1:8" ht="15.75" customHeight="1" x14ac:dyDescent="0.3">
      <c r="A22" s="12" t="s">
        <v>34</v>
      </c>
      <c r="B22" s="13">
        <v>3.8</v>
      </c>
      <c r="C22" s="13">
        <v>3</v>
      </c>
      <c r="D22" s="13">
        <v>2.6</v>
      </c>
      <c r="E22" s="13">
        <v>2.4</v>
      </c>
      <c r="F22" s="14" t="s">
        <v>35</v>
      </c>
      <c r="G22" s="20" t="s">
        <v>36</v>
      </c>
    </row>
    <row r="23" spans="1:8" ht="15.75" customHeight="1" x14ac:dyDescent="0.3">
      <c r="A23" s="40" t="s">
        <v>37</v>
      </c>
      <c r="B23" s="40"/>
      <c r="C23" s="40"/>
      <c r="D23" s="40"/>
      <c r="E23" s="40"/>
      <c r="F23" s="40"/>
      <c r="G23" s="40"/>
    </row>
    <row r="24" spans="1:8" ht="21.6" customHeight="1" x14ac:dyDescent="0.3">
      <c r="A24" s="12" t="s">
        <v>38</v>
      </c>
      <c r="B24" s="28">
        <v>412</v>
      </c>
      <c r="C24" s="28">
        <v>398</v>
      </c>
      <c r="D24" s="28">
        <v>385</v>
      </c>
      <c r="E24" s="28">
        <v>371</v>
      </c>
      <c r="F24" s="14" t="s">
        <v>39</v>
      </c>
      <c r="G24" s="20" t="s">
        <v>40</v>
      </c>
    </row>
    <row r="25" spans="1:8" ht="21" customHeight="1" x14ac:dyDescent="0.3">
      <c r="A25" s="16" t="s">
        <v>41</v>
      </c>
      <c r="B25" s="29">
        <v>0.08</v>
      </c>
      <c r="C25" s="29">
        <v>0.14000000000000001</v>
      </c>
      <c r="D25" s="29">
        <v>0.21</v>
      </c>
      <c r="E25" s="29">
        <v>0.27</v>
      </c>
      <c r="F25" s="18" t="s">
        <v>19</v>
      </c>
      <c r="G25" s="21" t="s">
        <v>145</v>
      </c>
    </row>
    <row r="26" spans="1:8" ht="24.6" customHeight="1" x14ac:dyDescent="0.3">
      <c r="A26" s="22" t="s">
        <v>42</v>
      </c>
      <c r="B26" s="27">
        <v>0.04</v>
      </c>
      <c r="C26" s="27">
        <v>7.0000000000000007E-2</v>
      </c>
      <c r="D26" s="27">
        <v>0.11</v>
      </c>
      <c r="E26" s="27">
        <v>0.14000000000000001</v>
      </c>
      <c r="F26" s="24" t="s">
        <v>19</v>
      </c>
      <c r="G26" s="21" t="s">
        <v>125</v>
      </c>
      <c r="H26" t="s">
        <v>156</v>
      </c>
    </row>
    <row r="27" spans="1:8" ht="31.8" customHeight="1" x14ac:dyDescent="0.3">
      <c r="A27" s="16" t="s">
        <v>43</v>
      </c>
      <c r="B27" s="26">
        <v>480</v>
      </c>
      <c r="C27" s="26">
        <v>910</v>
      </c>
      <c r="D27" s="26">
        <v>1540</v>
      </c>
      <c r="E27" s="26">
        <v>2100</v>
      </c>
      <c r="F27" s="18" t="s">
        <v>44</v>
      </c>
      <c r="G27" s="21" t="s">
        <v>144</v>
      </c>
    </row>
    <row r="28" spans="1:8" ht="15.75" customHeight="1" x14ac:dyDescent="0.3">
      <c r="A28" s="40" t="s">
        <v>45</v>
      </c>
      <c r="B28" s="40"/>
      <c r="C28" s="40"/>
      <c r="D28" s="40"/>
      <c r="E28" s="40"/>
      <c r="F28" s="40"/>
      <c r="G28" s="40"/>
    </row>
    <row r="29" spans="1:8" ht="15.75" customHeight="1" x14ac:dyDescent="0.3">
      <c r="A29" s="22" t="s">
        <v>46</v>
      </c>
      <c r="B29" s="32">
        <v>42.1</v>
      </c>
      <c r="C29" s="32">
        <v>40.299999999999997</v>
      </c>
      <c r="D29" s="32">
        <v>38.9</v>
      </c>
      <c r="E29" s="32">
        <v>37.200000000000003</v>
      </c>
      <c r="F29" s="24" t="s">
        <v>47</v>
      </c>
      <c r="G29" s="20" t="s">
        <v>126</v>
      </c>
    </row>
    <row r="30" spans="1:8" ht="15.75" customHeight="1" x14ac:dyDescent="0.3">
      <c r="A30" s="12" t="s">
        <v>48</v>
      </c>
      <c r="B30" s="33">
        <v>0.31</v>
      </c>
      <c r="C30" s="33">
        <v>0.35</v>
      </c>
      <c r="D30" s="33">
        <v>0.38</v>
      </c>
      <c r="E30" s="33">
        <v>0.41</v>
      </c>
      <c r="F30" s="14" t="s">
        <v>19</v>
      </c>
      <c r="G30" s="20" t="s">
        <v>49</v>
      </c>
    </row>
    <row r="31" spans="1:8" ht="15.75" customHeight="1" x14ac:dyDescent="0.3">
      <c r="A31" s="40" t="s">
        <v>50</v>
      </c>
      <c r="B31" s="40"/>
      <c r="C31" s="40"/>
      <c r="D31" s="40"/>
      <c r="E31" s="40"/>
      <c r="F31" s="40"/>
      <c r="G31" s="40"/>
    </row>
    <row r="32" spans="1:8" ht="15.75" customHeight="1" x14ac:dyDescent="0.3">
      <c r="A32" s="3" t="s">
        <v>51</v>
      </c>
      <c r="B32" s="6">
        <v>14</v>
      </c>
      <c r="C32" s="6">
        <v>11</v>
      </c>
      <c r="D32" s="6">
        <v>9</v>
      </c>
      <c r="E32" s="6">
        <v>8</v>
      </c>
      <c r="F32" s="4" t="s">
        <v>52</v>
      </c>
      <c r="G32" s="5" t="s">
        <v>53</v>
      </c>
    </row>
    <row r="33" spans="1:8" ht="15.75" customHeight="1" x14ac:dyDescent="0.3">
      <c r="A33" s="3" t="s">
        <v>54</v>
      </c>
      <c r="B33" s="6">
        <v>320</v>
      </c>
      <c r="C33" s="6">
        <v>245</v>
      </c>
      <c r="D33" s="6">
        <v>190</v>
      </c>
      <c r="E33" s="6">
        <v>155</v>
      </c>
      <c r="F33" s="4" t="s">
        <v>55</v>
      </c>
      <c r="G33" s="5" t="s">
        <v>56</v>
      </c>
    </row>
    <row r="34" spans="1:8" ht="15.75" customHeight="1" x14ac:dyDescent="0.3">
      <c r="A34" s="40" t="s">
        <v>57</v>
      </c>
      <c r="B34" s="40"/>
      <c r="C34" s="40"/>
      <c r="D34" s="40"/>
      <c r="E34" s="40"/>
      <c r="F34" s="40"/>
      <c r="G34" s="40"/>
    </row>
    <row r="35" spans="1:8" ht="15.75" customHeight="1" x14ac:dyDescent="0.3">
      <c r="A35" s="16" t="s">
        <v>58</v>
      </c>
      <c r="B35" s="26">
        <v>210</v>
      </c>
      <c r="C35" s="26">
        <v>380</v>
      </c>
      <c r="D35" s="26">
        <v>520</v>
      </c>
      <c r="E35" s="26">
        <v>680</v>
      </c>
      <c r="F35" s="18" t="s">
        <v>44</v>
      </c>
      <c r="G35" s="21" t="s">
        <v>59</v>
      </c>
    </row>
    <row r="36" spans="1:8" ht="15.75" customHeight="1" x14ac:dyDescent="0.3">
      <c r="A36" s="22" t="s">
        <v>60</v>
      </c>
      <c r="B36" s="23" t="s">
        <v>61</v>
      </c>
      <c r="C36" s="23" t="s">
        <v>61</v>
      </c>
      <c r="D36" s="23" t="s">
        <v>61</v>
      </c>
      <c r="E36" s="23" t="s">
        <v>61</v>
      </c>
      <c r="F36" s="24" t="s">
        <v>62</v>
      </c>
      <c r="G36" s="21" t="s">
        <v>127</v>
      </c>
      <c r="H36" s="56" t="s">
        <v>156</v>
      </c>
    </row>
    <row r="37" spans="1:8" ht="15.75" customHeight="1" x14ac:dyDescent="0.3">
      <c r="A37" s="22" t="s">
        <v>63</v>
      </c>
      <c r="B37" s="23" t="s">
        <v>64</v>
      </c>
      <c r="C37" s="23" t="s">
        <v>64</v>
      </c>
      <c r="D37" s="23" t="s">
        <v>64</v>
      </c>
      <c r="E37" s="23" t="s">
        <v>65</v>
      </c>
      <c r="F37" s="24" t="s">
        <v>66</v>
      </c>
      <c r="G37" s="21" t="s">
        <v>128</v>
      </c>
    </row>
    <row r="38" spans="1:8" ht="15.75" customHeight="1" x14ac:dyDescent="0.3">
      <c r="A38" s="22" t="s">
        <v>132</v>
      </c>
      <c r="B38" s="23" t="s">
        <v>67</v>
      </c>
      <c r="C38" s="23" t="s">
        <v>67</v>
      </c>
      <c r="D38" s="23" t="s">
        <v>67</v>
      </c>
      <c r="E38" s="23" t="s">
        <v>67</v>
      </c>
      <c r="F38" s="24" t="s">
        <v>68</v>
      </c>
      <c r="G38" s="21" t="s">
        <v>129</v>
      </c>
    </row>
    <row r="39" spans="1:8" ht="65.400000000000006" customHeight="1" x14ac:dyDescent="0.3">
      <c r="A39" s="41" t="s">
        <v>133</v>
      </c>
      <c r="B39" s="42"/>
      <c r="C39" s="42"/>
      <c r="D39" s="42"/>
      <c r="E39" s="42"/>
      <c r="F39" s="42"/>
      <c r="G39" s="42"/>
    </row>
    <row r="40" spans="1:8" ht="60.6" customHeight="1" x14ac:dyDescent="0.3">
      <c r="A40" s="10" t="s">
        <v>147</v>
      </c>
      <c r="B40" s="11"/>
      <c r="C40" s="11"/>
      <c r="D40" s="11"/>
      <c r="E40" s="11"/>
      <c r="F40" s="11"/>
      <c r="G40" s="11"/>
    </row>
  </sheetData>
  <mergeCells count="11">
    <mergeCell ref="A39:G39"/>
    <mergeCell ref="A18:G18"/>
    <mergeCell ref="A23:G23"/>
    <mergeCell ref="A28:G28"/>
    <mergeCell ref="A31:G31"/>
    <mergeCell ref="A34:G34"/>
    <mergeCell ref="A1:G1"/>
    <mergeCell ref="A2:G2"/>
    <mergeCell ref="A3:G3"/>
    <mergeCell ref="A4:G4"/>
    <mergeCell ref="A9:G9"/>
  </mergeCells>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
  <sheetViews>
    <sheetView showGridLines="0" zoomScaleNormal="100" workbookViewId="0">
      <pane xSplit="1" ySplit="8" topLeftCell="B9" activePane="bottomRight" state="frozen"/>
      <selection pane="topRight" activeCell="B1" sqref="B1"/>
      <selection pane="bottomLeft" activeCell="A9" sqref="A9"/>
      <selection pane="bottomRight" activeCell="G13" sqref="G13"/>
    </sheetView>
  </sheetViews>
  <sheetFormatPr defaultColWidth="8.6640625" defaultRowHeight="14.4" x14ac:dyDescent="0.3"/>
  <cols>
    <col min="1" max="1" width="34" customWidth="1"/>
    <col min="2" max="6" width="10" customWidth="1"/>
    <col min="7" max="7" width="74.33203125" customWidth="1"/>
  </cols>
  <sheetData>
    <row r="1" spans="1:7" ht="27.75" customHeight="1" x14ac:dyDescent="0.3">
      <c r="A1" s="43" t="s">
        <v>69</v>
      </c>
      <c r="B1" s="43"/>
      <c r="C1" s="43"/>
      <c r="D1" s="43"/>
      <c r="E1" s="43"/>
      <c r="F1" s="43"/>
      <c r="G1" s="43"/>
    </row>
    <row r="2" spans="1:7" ht="18" customHeight="1" x14ac:dyDescent="0.3">
      <c r="A2" s="44" t="s">
        <v>70</v>
      </c>
      <c r="B2" s="44"/>
      <c r="C2" s="44"/>
      <c r="D2" s="44"/>
      <c r="E2" s="44"/>
      <c r="F2" s="44"/>
      <c r="G2" s="44"/>
    </row>
    <row r="3" spans="1:7" ht="51.75" customHeight="1" x14ac:dyDescent="0.3">
      <c r="A3" s="45" t="s">
        <v>134</v>
      </c>
      <c r="B3" s="46"/>
      <c r="C3" s="46"/>
      <c r="D3" s="46"/>
      <c r="E3" s="46"/>
      <c r="F3" s="46"/>
      <c r="G3" s="46"/>
    </row>
    <row r="4" spans="1:7" ht="15.75" customHeight="1" x14ac:dyDescent="0.3">
      <c r="A4" s="39" t="s">
        <v>122</v>
      </c>
      <c r="B4" s="39"/>
      <c r="C4" s="39"/>
      <c r="D4" s="39"/>
      <c r="E4" s="39"/>
      <c r="F4" s="39"/>
      <c r="G4" s="39"/>
    </row>
    <row r="5" spans="1:7" ht="4.5" customHeight="1" x14ac:dyDescent="0.3">
      <c r="A5" s="1"/>
      <c r="B5" s="1"/>
      <c r="C5" s="1"/>
      <c r="D5" s="1"/>
      <c r="E5" s="1"/>
      <c r="F5" s="1"/>
      <c r="G5" s="1"/>
    </row>
    <row r="6" spans="1:7" ht="4.5" customHeight="1" x14ac:dyDescent="0.3">
      <c r="A6" s="1"/>
      <c r="B6" s="1"/>
      <c r="C6" s="1"/>
      <c r="D6" s="1"/>
      <c r="E6" s="1"/>
      <c r="F6" s="1"/>
      <c r="G6" s="1"/>
    </row>
    <row r="7" spans="1:7" ht="4.5" customHeight="1" x14ac:dyDescent="0.3">
      <c r="A7" s="1"/>
      <c r="B7" s="1"/>
      <c r="C7" s="1"/>
      <c r="D7" s="1"/>
      <c r="E7" s="1"/>
      <c r="F7" s="1"/>
      <c r="G7" s="1"/>
    </row>
    <row r="8" spans="1:7" ht="27.75" customHeight="1" x14ac:dyDescent="0.3">
      <c r="A8" s="30" t="s">
        <v>2</v>
      </c>
      <c r="B8" s="30" t="s">
        <v>3</v>
      </c>
      <c r="C8" s="30" t="s">
        <v>4</v>
      </c>
      <c r="D8" s="30" t="s">
        <v>5</v>
      </c>
      <c r="E8" s="30" t="s">
        <v>6</v>
      </c>
      <c r="F8" s="30" t="s">
        <v>7</v>
      </c>
      <c r="G8" s="31" t="s">
        <v>130</v>
      </c>
    </row>
    <row r="9" spans="1:7" ht="15.75" customHeight="1" x14ac:dyDescent="0.3">
      <c r="A9" s="47" t="s">
        <v>8</v>
      </c>
      <c r="B9" s="47"/>
      <c r="C9" s="47"/>
      <c r="D9" s="47"/>
      <c r="E9" s="47"/>
      <c r="F9" s="47"/>
      <c r="G9" s="47"/>
    </row>
    <row r="10" spans="1:7" ht="15.75" customHeight="1" x14ac:dyDescent="0.3">
      <c r="A10" s="22" t="s">
        <v>71</v>
      </c>
      <c r="B10" s="32">
        <v>2.81</v>
      </c>
      <c r="C10" s="32">
        <v>2.64</v>
      </c>
      <c r="D10" s="32">
        <v>2.5</v>
      </c>
      <c r="E10" s="32">
        <v>2.38</v>
      </c>
      <c r="F10" s="24" t="s">
        <v>10</v>
      </c>
      <c r="G10" s="15" t="s">
        <v>135</v>
      </c>
    </row>
    <row r="11" spans="1:7" ht="15.75" customHeight="1" x14ac:dyDescent="0.3">
      <c r="A11" s="22" t="s">
        <v>12</v>
      </c>
      <c r="B11" s="32">
        <v>1.42</v>
      </c>
      <c r="C11" s="32">
        <v>1.1000000000000001</v>
      </c>
      <c r="D11" s="32">
        <v>0.82</v>
      </c>
      <c r="E11" s="32">
        <v>0.61</v>
      </c>
      <c r="F11" s="24" t="s">
        <v>10</v>
      </c>
      <c r="G11" s="15" t="s">
        <v>143</v>
      </c>
    </row>
    <row r="12" spans="1:7" ht="15.75" customHeight="1" x14ac:dyDescent="0.3">
      <c r="A12" s="12" t="s">
        <v>14</v>
      </c>
      <c r="B12" s="13">
        <v>2.0499999999999998</v>
      </c>
      <c r="C12" s="13">
        <v>1.88</v>
      </c>
      <c r="D12" s="13">
        <v>1.71</v>
      </c>
      <c r="E12" s="13">
        <v>1.55</v>
      </c>
      <c r="F12" s="14" t="s">
        <v>10</v>
      </c>
      <c r="G12" s="15" t="s">
        <v>72</v>
      </c>
    </row>
    <row r="13" spans="1:7" ht="15.75" customHeight="1" x14ac:dyDescent="0.3">
      <c r="A13" s="22" t="s">
        <v>21</v>
      </c>
      <c r="B13" s="32">
        <v>24.4</v>
      </c>
      <c r="C13" s="32">
        <v>23.1</v>
      </c>
      <c r="D13" s="32">
        <v>22</v>
      </c>
      <c r="E13" s="32">
        <v>21.2</v>
      </c>
      <c r="F13" s="24" t="s">
        <v>10</v>
      </c>
      <c r="G13" s="15" t="s">
        <v>136</v>
      </c>
    </row>
    <row r="14" spans="1:7" ht="15.75" customHeight="1" x14ac:dyDescent="0.3">
      <c r="A14" s="12" t="s">
        <v>73</v>
      </c>
      <c r="B14" s="13">
        <v>1.8</v>
      </c>
      <c r="C14" s="13">
        <v>1.7</v>
      </c>
      <c r="D14" s="13">
        <v>1.6</v>
      </c>
      <c r="E14" s="13">
        <v>1.55</v>
      </c>
      <c r="F14" s="14" t="s">
        <v>10</v>
      </c>
      <c r="G14" s="20" t="s">
        <v>74</v>
      </c>
    </row>
    <row r="15" spans="1:7" ht="15.75" customHeight="1" x14ac:dyDescent="0.3">
      <c r="A15" s="16" t="s">
        <v>75</v>
      </c>
      <c r="B15" s="17">
        <v>2.1</v>
      </c>
      <c r="C15" s="17">
        <v>2</v>
      </c>
      <c r="D15" s="17">
        <v>1.95</v>
      </c>
      <c r="E15" s="17">
        <v>1.9</v>
      </c>
      <c r="F15" s="18" t="s">
        <v>10</v>
      </c>
      <c r="G15" s="21" t="s">
        <v>76</v>
      </c>
    </row>
    <row r="16" spans="1:7" ht="15.75" customHeight="1" x14ac:dyDescent="0.3">
      <c r="A16" s="12" t="s">
        <v>77</v>
      </c>
      <c r="B16" s="13">
        <v>0.9</v>
      </c>
      <c r="C16" s="13">
        <v>0.88</v>
      </c>
      <c r="D16" s="13">
        <v>0.84</v>
      </c>
      <c r="E16" s="13">
        <v>0.8</v>
      </c>
      <c r="F16" s="14" t="s">
        <v>10</v>
      </c>
      <c r="G16" s="20" t="s">
        <v>78</v>
      </c>
    </row>
    <row r="17" spans="1:7" ht="15.75" customHeight="1" x14ac:dyDescent="0.3">
      <c r="A17" s="16" t="s">
        <v>79</v>
      </c>
      <c r="B17" s="17">
        <v>29.2</v>
      </c>
      <c r="C17" s="17">
        <v>27.7</v>
      </c>
      <c r="D17" s="17">
        <v>26.4</v>
      </c>
      <c r="E17" s="17">
        <v>25.45</v>
      </c>
      <c r="F17" s="18" t="s">
        <v>10</v>
      </c>
      <c r="G17" s="21" t="s">
        <v>80</v>
      </c>
    </row>
    <row r="18" spans="1:7" ht="15.75" customHeight="1" x14ac:dyDescent="0.3">
      <c r="A18" s="22" t="s">
        <v>81</v>
      </c>
      <c r="B18" s="27">
        <v>0</v>
      </c>
      <c r="C18" s="27">
        <v>0.12</v>
      </c>
      <c r="D18" s="27">
        <v>0.18</v>
      </c>
      <c r="E18" s="27">
        <v>0.24</v>
      </c>
      <c r="F18" s="24" t="s">
        <v>19</v>
      </c>
      <c r="G18" s="21" t="s">
        <v>137</v>
      </c>
    </row>
    <row r="19" spans="1:7" ht="15.75" customHeight="1" x14ac:dyDescent="0.3">
      <c r="A19" s="47" t="s">
        <v>82</v>
      </c>
      <c r="B19" s="47"/>
      <c r="C19" s="47"/>
      <c r="D19" s="47"/>
      <c r="E19" s="47"/>
      <c r="F19" s="47"/>
      <c r="G19" s="47"/>
    </row>
    <row r="20" spans="1:7" ht="15.75" customHeight="1" x14ac:dyDescent="0.3">
      <c r="A20" s="12" t="s">
        <v>83</v>
      </c>
      <c r="B20" s="13">
        <v>41.2</v>
      </c>
      <c r="C20" s="13">
        <v>38.799999999999997</v>
      </c>
      <c r="D20" s="13">
        <v>36.4</v>
      </c>
      <c r="E20" s="13">
        <v>34.1</v>
      </c>
      <c r="F20" s="14" t="s">
        <v>39</v>
      </c>
      <c r="G20" s="20" t="s">
        <v>84</v>
      </c>
    </row>
    <row r="21" spans="1:7" ht="15.75" customHeight="1" x14ac:dyDescent="0.3">
      <c r="A21" s="22" t="s">
        <v>41</v>
      </c>
      <c r="B21" s="27">
        <v>0.31</v>
      </c>
      <c r="C21" s="27">
        <v>0.52</v>
      </c>
      <c r="D21" s="27">
        <v>0.68</v>
      </c>
      <c r="E21" s="27">
        <v>0.79</v>
      </c>
      <c r="F21" s="24" t="s">
        <v>19</v>
      </c>
      <c r="G21" s="20" t="s">
        <v>138</v>
      </c>
    </row>
    <row r="22" spans="1:7" ht="15.75" customHeight="1" x14ac:dyDescent="0.3">
      <c r="A22" s="12" t="s">
        <v>85</v>
      </c>
      <c r="B22" s="28">
        <v>312</v>
      </c>
      <c r="C22" s="28">
        <v>291</v>
      </c>
      <c r="D22" s="28">
        <v>270</v>
      </c>
      <c r="E22" s="28">
        <v>251</v>
      </c>
      <c r="F22" s="14" t="s">
        <v>86</v>
      </c>
      <c r="G22" s="20" t="s">
        <v>87</v>
      </c>
    </row>
    <row r="23" spans="1:7" ht="15.75" customHeight="1" x14ac:dyDescent="0.3">
      <c r="A23" s="47" t="s">
        <v>88</v>
      </c>
      <c r="B23" s="47"/>
      <c r="C23" s="47"/>
      <c r="D23" s="47"/>
      <c r="E23" s="47"/>
      <c r="F23" s="47"/>
      <c r="G23" s="47"/>
    </row>
    <row r="24" spans="1:7" ht="15.75" customHeight="1" x14ac:dyDescent="0.3">
      <c r="A24" s="22" t="s">
        <v>89</v>
      </c>
      <c r="B24" s="25">
        <v>148</v>
      </c>
      <c r="C24" s="25">
        <v>131</v>
      </c>
      <c r="D24" s="25">
        <v>119</v>
      </c>
      <c r="E24" s="25">
        <v>108</v>
      </c>
      <c r="F24" s="24" t="s">
        <v>90</v>
      </c>
      <c r="G24" s="21" t="s">
        <v>139</v>
      </c>
    </row>
    <row r="25" spans="1:7" ht="15.75" customHeight="1" x14ac:dyDescent="0.3">
      <c r="A25" s="16" t="s">
        <v>91</v>
      </c>
      <c r="B25" s="29">
        <v>0.22</v>
      </c>
      <c r="C25" s="29">
        <v>0.19</v>
      </c>
      <c r="D25" s="29">
        <v>0.17</v>
      </c>
      <c r="E25" s="29">
        <v>0.15</v>
      </c>
      <c r="F25" s="18" t="s">
        <v>19</v>
      </c>
      <c r="G25" s="21" t="s">
        <v>92</v>
      </c>
    </row>
    <row r="26" spans="1:7" ht="15.75" customHeight="1" x14ac:dyDescent="0.3">
      <c r="A26" s="12" t="s">
        <v>93</v>
      </c>
      <c r="B26" s="33">
        <v>0.04</v>
      </c>
      <c r="C26" s="33">
        <v>0.11</v>
      </c>
      <c r="D26" s="33">
        <v>0.19</v>
      </c>
      <c r="E26" s="33">
        <v>0.28000000000000003</v>
      </c>
      <c r="F26" s="14" t="s">
        <v>19</v>
      </c>
      <c r="G26" s="20" t="s">
        <v>94</v>
      </c>
    </row>
    <row r="27" spans="1:7" ht="15.75" customHeight="1" x14ac:dyDescent="0.3">
      <c r="A27" s="34" t="s">
        <v>95</v>
      </c>
      <c r="B27" s="30" t="s">
        <v>3</v>
      </c>
      <c r="C27" s="30" t="s">
        <v>4</v>
      </c>
      <c r="D27" s="30" t="s">
        <v>5</v>
      </c>
      <c r="E27" s="30" t="s">
        <v>6</v>
      </c>
      <c r="F27" s="30" t="s">
        <v>7</v>
      </c>
      <c r="G27" s="34" t="s">
        <v>130</v>
      </c>
    </row>
    <row r="28" spans="1:7" ht="67.8" customHeight="1" x14ac:dyDescent="0.3">
      <c r="A28" s="22" t="s">
        <v>96</v>
      </c>
      <c r="B28" s="25">
        <v>142</v>
      </c>
      <c r="C28" s="25">
        <v>128</v>
      </c>
      <c r="D28" s="25">
        <v>109</v>
      </c>
      <c r="E28" s="32">
        <v>96</v>
      </c>
      <c r="F28" s="24" t="s">
        <v>97</v>
      </c>
      <c r="G28" s="21" t="s">
        <v>140</v>
      </c>
    </row>
    <row r="29" spans="1:7" ht="47.4" customHeight="1" x14ac:dyDescent="0.3">
      <c r="A29" s="16" t="s">
        <v>98</v>
      </c>
      <c r="B29" s="29">
        <v>0.57999999999999996</v>
      </c>
      <c r="C29" s="29">
        <v>0.67</v>
      </c>
      <c r="D29" s="29">
        <v>0.74</v>
      </c>
      <c r="E29" s="29">
        <v>0.81</v>
      </c>
      <c r="F29" s="18" t="s">
        <v>19</v>
      </c>
      <c r="G29" s="21" t="s">
        <v>99</v>
      </c>
    </row>
    <row r="30" spans="1:7" ht="20.399999999999999" x14ac:dyDescent="0.3">
      <c r="A30" s="12" t="s">
        <v>100</v>
      </c>
      <c r="B30" s="35"/>
      <c r="C30" s="35">
        <v>28</v>
      </c>
      <c r="D30" s="35">
        <v>41</v>
      </c>
      <c r="E30" s="35">
        <v>57</v>
      </c>
      <c r="F30" s="14" t="s">
        <v>101</v>
      </c>
      <c r="G30" s="20" t="s">
        <v>102</v>
      </c>
    </row>
    <row r="31" spans="1:7" ht="48.6" customHeight="1" x14ac:dyDescent="0.3">
      <c r="A31" s="16" t="s">
        <v>103</v>
      </c>
      <c r="B31" s="17">
        <v>18.399999999999999</v>
      </c>
      <c r="C31" s="17">
        <v>16.899999999999999</v>
      </c>
      <c r="D31" s="17">
        <v>15.2</v>
      </c>
      <c r="E31" s="17">
        <v>13.8</v>
      </c>
      <c r="F31" s="18" t="s">
        <v>104</v>
      </c>
      <c r="G31" s="21" t="s">
        <v>105</v>
      </c>
    </row>
    <row r="32" spans="1:7" ht="15.75" customHeight="1" x14ac:dyDescent="0.3">
      <c r="A32" s="47" t="s">
        <v>106</v>
      </c>
      <c r="B32" s="47"/>
      <c r="C32" s="47"/>
      <c r="D32" s="47"/>
      <c r="E32" s="47"/>
      <c r="F32" s="47"/>
      <c r="G32" s="47"/>
    </row>
    <row r="33" spans="1:7" ht="15.75" customHeight="1" x14ac:dyDescent="0.3">
      <c r="A33" s="22" t="s">
        <v>107</v>
      </c>
      <c r="B33" s="32">
        <v>4.8</v>
      </c>
      <c r="C33" s="32">
        <v>4.4000000000000004</v>
      </c>
      <c r="D33" s="32">
        <v>4.0999999999999996</v>
      </c>
      <c r="E33" s="32">
        <v>3.8</v>
      </c>
      <c r="F33" s="24" t="s">
        <v>108</v>
      </c>
      <c r="G33" s="20" t="s">
        <v>141</v>
      </c>
    </row>
    <row r="34" spans="1:7" ht="15.75" customHeight="1" x14ac:dyDescent="0.3">
      <c r="A34" s="12" t="s">
        <v>109</v>
      </c>
      <c r="B34" s="33">
        <v>0.14000000000000001</v>
      </c>
      <c r="C34" s="33">
        <v>0.19</v>
      </c>
      <c r="D34" s="33">
        <v>0.24</v>
      </c>
      <c r="E34" s="33">
        <v>0.28000000000000003</v>
      </c>
      <c r="F34" s="14" t="s">
        <v>19</v>
      </c>
      <c r="G34" s="20" t="s">
        <v>110</v>
      </c>
    </row>
    <row r="35" spans="1:7" ht="15.75" customHeight="1" x14ac:dyDescent="0.3">
      <c r="A35" s="16" t="s">
        <v>111</v>
      </c>
      <c r="B35" s="29">
        <v>0.94</v>
      </c>
      <c r="C35" s="29">
        <v>0.96</v>
      </c>
      <c r="D35" s="29">
        <v>0.97</v>
      </c>
      <c r="E35" s="29">
        <v>0.98</v>
      </c>
      <c r="F35" s="18" t="s">
        <v>19</v>
      </c>
      <c r="G35" s="21" t="s">
        <v>112</v>
      </c>
    </row>
    <row r="36" spans="1:7" ht="15.75" customHeight="1" x14ac:dyDescent="0.3">
      <c r="A36" s="47" t="s">
        <v>45</v>
      </c>
      <c r="B36" s="47"/>
      <c r="C36" s="47"/>
      <c r="D36" s="47"/>
      <c r="E36" s="47"/>
      <c r="F36" s="47"/>
      <c r="G36" s="47"/>
    </row>
    <row r="37" spans="1:7" ht="15.75" customHeight="1" x14ac:dyDescent="0.3">
      <c r="A37" s="16" t="s">
        <v>113</v>
      </c>
      <c r="B37" s="17">
        <v>8.4</v>
      </c>
      <c r="C37" s="17">
        <v>7.9</v>
      </c>
      <c r="D37" s="17">
        <v>7.5</v>
      </c>
      <c r="E37" s="17">
        <v>7.1</v>
      </c>
      <c r="F37" s="18" t="s">
        <v>47</v>
      </c>
      <c r="G37" s="21" t="s">
        <v>114</v>
      </c>
    </row>
    <row r="38" spans="1:7" ht="15.75" customHeight="1" x14ac:dyDescent="0.3">
      <c r="A38" s="12" t="s">
        <v>115</v>
      </c>
      <c r="B38" s="13">
        <v>63.5</v>
      </c>
      <c r="C38" s="13">
        <v>59.1</v>
      </c>
      <c r="D38" s="13">
        <v>55.8</v>
      </c>
      <c r="E38" s="13">
        <v>52.9</v>
      </c>
      <c r="F38" s="14" t="s">
        <v>116</v>
      </c>
      <c r="G38" s="20" t="s">
        <v>117</v>
      </c>
    </row>
    <row r="39" spans="1:7" ht="15.75" customHeight="1" x14ac:dyDescent="0.3">
      <c r="A39" s="47" t="s">
        <v>118</v>
      </c>
      <c r="B39" s="47"/>
      <c r="C39" s="47"/>
      <c r="D39" s="47"/>
      <c r="E39" s="47"/>
      <c r="F39" s="47"/>
      <c r="G39" s="47"/>
    </row>
    <row r="40" spans="1:7" ht="15.75" customHeight="1" x14ac:dyDescent="0.3">
      <c r="A40" s="22" t="s">
        <v>119</v>
      </c>
      <c r="B40" s="27">
        <v>0.31</v>
      </c>
      <c r="C40" s="27">
        <v>0.44</v>
      </c>
      <c r="D40" s="27">
        <v>0.55000000000000004</v>
      </c>
      <c r="E40" s="27">
        <v>0.63</v>
      </c>
      <c r="F40" s="24" t="s">
        <v>19</v>
      </c>
      <c r="G40" s="21" t="s">
        <v>142</v>
      </c>
    </row>
    <row r="41" spans="1:7" ht="15.75" customHeight="1" x14ac:dyDescent="0.3">
      <c r="A41" s="16" t="s">
        <v>120</v>
      </c>
      <c r="B41" s="29">
        <v>0.04</v>
      </c>
      <c r="C41" s="29">
        <v>0.08</v>
      </c>
      <c r="D41" s="29">
        <v>0.12</v>
      </c>
      <c r="E41" s="29">
        <v>0.17</v>
      </c>
      <c r="F41" s="18" t="s">
        <v>19</v>
      </c>
      <c r="G41" s="21" t="s">
        <v>121</v>
      </c>
    </row>
  </sheetData>
  <mergeCells count="10">
    <mergeCell ref="A39:G39"/>
    <mergeCell ref="A19:G19"/>
    <mergeCell ref="A23:G23"/>
    <mergeCell ref="A32:G32"/>
    <mergeCell ref="A36:G36"/>
    <mergeCell ref="A1:G1"/>
    <mergeCell ref="A2:G2"/>
    <mergeCell ref="A3:G3"/>
    <mergeCell ref="A4:G4"/>
    <mergeCell ref="A9:G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G1 – NordPetro AS (Energy)</vt:lpstr>
      <vt:lpstr>G2 – VerdeMart Group (Retail)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Gaudy Solorzano Morera</cp:lastModifiedBy>
  <cp:revision>0</cp:revision>
  <dcterms:created xsi:type="dcterms:W3CDTF">2026-03-30T15:38:33Z</dcterms:created>
  <dcterms:modified xsi:type="dcterms:W3CDTF">2026-04-03T00:23:13Z</dcterms:modified>
  <dc:language>en-US</dc:language>
</cp:coreProperties>
</file>